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7" customWidth="1" min="15" max="15"/>
    <col width="16" customWidth="1" min="16" max="16"/>
  </cols>
  <sheetData>
    <row r="1">
      <c r="A1" s="1" t="inlineStr">
        <is>
          <t>Transaction ID</t>
        </is>
      </c>
      <c r="B1" s="1" t="inlineStr">
        <is>
          <t>Transaction Date</t>
        </is>
      </c>
      <c r="C1" s="1" t="inlineStr">
        <is>
          <t>Item Description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Purchase Cost</t>
        </is>
      </c>
      <c r="G1" s="1" t="inlineStr">
        <is>
          <t>Sale Price</t>
        </is>
      </c>
      <c r="H1" s="1" t="inlineStr">
        <is>
          <t>Sale Date</t>
        </is>
      </c>
      <c r="I1" s="1" t="inlineStr">
        <is>
          <t>Sales Channel</t>
        </is>
      </c>
      <c r="J1" s="1" t="inlineStr">
        <is>
          <t>Quantity</t>
        </is>
      </c>
      <c r="K1" s="1" t="inlineStr">
        <is>
          <t>Currency</t>
        </is>
      </c>
      <c r="L1" s="1" t="inlineStr">
        <is>
          <t>Status</t>
        </is>
      </c>
      <c r="M1" s="1" t="inlineStr">
        <is>
          <t>Profit</t>
        </is>
      </c>
      <c r="N1" s="1" t="inlineStr">
        <is>
          <t>Running Cost</t>
        </is>
      </c>
      <c r="O1" s="1" t="inlineStr">
        <is>
          <t>Running Revenue</t>
        </is>
      </c>
      <c r="P1" s="1" t="inlineStr">
        <is>
          <t>Running Profit</t>
        </is>
      </c>
    </row>
    <row r="2">
      <c r="M2">
        <f>IF(G2&lt;&gt;"", G2*J2 - F2*J2, 0)</f>
        <v/>
      </c>
      <c r="N2">
        <f>SUMPRODUCT($F$2:F2, $J$2:J2)</f>
        <v/>
      </c>
      <c r="O2">
        <f>SUMPRODUCT($G$2:G2, $J$2:J2)</f>
        <v/>
      </c>
      <c r="P2">
        <f>SUM($M$2:M2)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Key Metrics</t>
        </is>
      </c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Purchase Cost</t>
        </is>
      </c>
      <c r="B4">
        <f>SUMPRODUCT('Raw Data'!$F$2:$F$1000,'Raw Data'!$J$2:$J$1000)</f>
        <v/>
      </c>
    </row>
    <row r="5">
      <c r="A5" t="inlineStr">
        <is>
          <t>Total Sales Revenue</t>
        </is>
      </c>
      <c r="B5">
        <f>SUMPRODUCT('Raw Data'!$G$2:$G$1000,'Raw Data'!$J$2:$J$1000)</f>
        <v/>
      </c>
    </row>
    <row r="6">
      <c r="A6" t="inlineStr">
        <is>
          <t>Total Profit</t>
        </is>
      </c>
      <c r="B6">
        <f>SUM('Raw Data'!$M$2:$M$1000)</f>
        <v/>
      </c>
    </row>
    <row r="7">
      <c r="A7" t="inlineStr">
        <is>
          <t>Number of Items Sold</t>
        </is>
      </c>
      <c r="B7">
        <f>COUNTIF('Raw Data'!$L$2:$L$1000,"Sold")</f>
        <v/>
      </c>
    </row>
    <row r="8">
      <c r="A8" t="inlineStr">
        <is>
          <t>Number of Items Available</t>
        </is>
      </c>
      <c r="B8">
        <f>COUNTIF('Raw Data'!$L$2:$L$1000,"Available")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2025-11-01T16:36:04Z</dcterms:created>
  <dcterms:modified xmlns:dcterms="http://purl.org/dc/terms/" xmlns:xsi="http://www.w3.org/2001/XMLSchema-instance" xsi:type="dcterms:W3CDTF">2025-11-01T16:47:16Z</dcterms:modified>
</cp:coreProperties>
</file>